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Por proveedor" sheetId="3" state="visible" r:id="rId3"/>
    <sheet xmlns:r="http://schemas.openxmlformats.org/officeDocument/2006/relationships" name="Revisión" sheetId="4" state="visible" r:id="rId4"/>
  </sheets>
  <definedNames>
    <definedName name="_xlnm._FilterDatabase" localSheetId="0" hidden="1">'Facturas'!$A$4:$J$16</definedName>
    <definedName name="_xlnm._FilterDatabase" localSheetId="1" hidden="1">'Detalle'!$A$4:$G$27</definedName>
    <definedName name="_xlnm._FilterDatabase" localSheetId="2" hidden="1">'Por proveedor'!$A$4:$F$9</definedName>
    <definedName name="_xlnm._FilterDatabase" localSheetId="3" hidden="1">'Revisión'!$A$4:$E$7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&quot;$&quot;#,##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5" borderId="1" pivotButton="0" quotePrefix="0" xfId="0"/>
    <xf numFmtId="166" fontId="4" fillId="5" borderId="1" pivotButton="0" quotePrefix="0" xfId="0"/>
    <xf numFmtId="3" fontId="0" fillId="0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0" customWidth="1" min="4" max="4"/>
    <col width="12" customWidth="1" min="5" max="5"/>
    <col width="14" customWidth="1" min="6" max="6"/>
    <col width="13" customWidth="1" min="7" max="7"/>
    <col width="14" customWidth="1" min="8" max="8"/>
    <col width="9" customWidth="1" min="9" max="9"/>
    <col width="12" customWidth="1" min="10" max="10"/>
  </cols>
  <sheetData>
    <row r="1">
      <c r="A1" s="1" t="inlineStr">
        <is>
          <t>Facturas extraídas</t>
        </is>
      </c>
    </row>
    <row r="2">
      <c r="A2" s="2" t="inlineStr">
        <is>
          <t>13 PDF procesados · 10 OK · 2 para revisar · 1 no reconocidos</t>
        </is>
      </c>
    </row>
    <row r="4">
      <c r="A4" s="3" t="inlineStr">
        <is>
          <t>Archivo</t>
        </is>
      </c>
      <c r="B4" s="3" t="inlineStr">
        <is>
          <t>Proveedor</t>
        </is>
      </c>
      <c r="C4" s="3" t="inlineStr">
        <is>
          <t>RUT proveedor</t>
        </is>
      </c>
      <c r="D4" s="3" t="inlineStr">
        <is>
          <t>Folio</t>
        </is>
      </c>
      <c r="E4" s="3" t="inlineStr">
        <is>
          <t>Fecha</t>
        </is>
      </c>
      <c r="F4" s="3" t="inlineStr">
        <is>
          <t>Neto</t>
        </is>
      </c>
      <c r="G4" s="3" t="inlineStr">
        <is>
          <t>IVA</t>
        </is>
      </c>
      <c r="H4" s="3" t="inlineStr">
        <is>
          <t>Total</t>
        </is>
      </c>
      <c r="I4" s="3" t="inlineStr">
        <is>
          <t>N° ítems</t>
        </is>
      </c>
      <c r="J4" s="3" t="inlineStr">
        <is>
          <t>Estado</t>
        </is>
      </c>
    </row>
    <row r="5">
      <c r="A5" s="4" t="inlineStr">
        <is>
          <t>factura_15514.pdf</t>
        </is>
      </c>
      <c r="B5" s="4" t="inlineStr">
        <is>
          <t>TecnoOficina Chile SpA</t>
        </is>
      </c>
      <c r="C5" s="4" t="inlineStr">
        <is>
          <t>77.930.441-8</t>
        </is>
      </c>
      <c r="D5" s="4" t="n">
        <v>15514</v>
      </c>
      <c r="E5" s="5" t="n">
        <v>46174</v>
      </c>
      <c r="F5" s="6" t="n">
        <v>58900</v>
      </c>
      <c r="G5" s="6" t="n">
        <v>11191</v>
      </c>
      <c r="H5" s="6" t="n">
        <v>70091</v>
      </c>
      <c r="I5" s="4" t="n">
        <v>1</v>
      </c>
      <c r="J5" s="7" t="inlineStr">
        <is>
          <t>OK</t>
        </is>
      </c>
    </row>
    <row r="6">
      <c r="A6" s="4" t="inlineStr">
        <is>
          <t>factura_2215.pdf</t>
        </is>
      </c>
      <c r="B6" s="4" t="inlineStr">
        <is>
          <t>Combustibles Ruta 5 Ltda.</t>
        </is>
      </c>
      <c r="C6" s="4" t="inlineStr">
        <is>
          <t>76.118.562-4</t>
        </is>
      </c>
      <c r="D6" s="4" t="n">
        <v>2215</v>
      </c>
      <c r="E6" s="5" t="n">
        <v>46043</v>
      </c>
      <c r="F6" s="6" t="n">
        <v>1105000</v>
      </c>
      <c r="G6" s="6" t="n">
        <v>209950</v>
      </c>
      <c r="H6" s="6" t="n">
        <v>1314950</v>
      </c>
      <c r="I6" s="4" t="n">
        <v>1</v>
      </c>
      <c r="J6" s="7" t="inlineStr">
        <is>
          <t>OK</t>
        </is>
      </c>
    </row>
    <row r="7">
      <c r="A7" s="4" t="inlineStr">
        <is>
          <t>factura_38696.pdf</t>
        </is>
      </c>
      <c r="B7" s="4" t="inlineStr">
        <is>
          <t>Combustibles Ruta 5 Ltda.</t>
        </is>
      </c>
      <c r="C7" s="4" t="inlineStr">
        <is>
          <t>76.118.562-4</t>
        </is>
      </c>
      <c r="D7" s="4" t="n">
        <v>38696</v>
      </c>
      <c r="E7" s="5" t="n">
        <v>46261</v>
      </c>
      <c r="F7" s="6" t="n">
        <v>65000</v>
      </c>
      <c r="G7" s="6" t="n">
        <v>12350</v>
      </c>
      <c r="H7" s="6" t="n">
        <v>77350</v>
      </c>
      <c r="I7" s="4" t="n">
        <v>1</v>
      </c>
      <c r="J7" s="7" t="inlineStr">
        <is>
          <t>OK</t>
        </is>
      </c>
    </row>
    <row r="8">
      <c r="A8" s="4" t="inlineStr">
        <is>
          <t>factura_42875.pdf</t>
        </is>
      </c>
      <c r="B8" s="4" t="inlineStr">
        <is>
          <t>Embalajes del Sur SpA</t>
        </is>
      </c>
      <c r="C8" s="4" t="inlineStr">
        <is>
          <t>76.482.113-0</t>
        </is>
      </c>
      <c r="D8" s="4" t="n">
        <v>42875</v>
      </c>
      <c r="E8" s="5" t="n">
        <v>46284</v>
      </c>
      <c r="F8" s="6" t="n">
        <v>503100</v>
      </c>
      <c r="G8" s="6" t="n">
        <v>95589</v>
      </c>
      <c r="H8" s="6" t="n">
        <v>598689</v>
      </c>
      <c r="I8" s="4" t="n">
        <v>1</v>
      </c>
      <c r="J8" s="7" t="inlineStr">
        <is>
          <t>OK</t>
        </is>
      </c>
    </row>
    <row r="9">
      <c r="A9" s="4" t="inlineStr">
        <is>
          <t>factura_47745.pdf</t>
        </is>
      </c>
      <c r="B9" s="4" t="inlineStr">
        <is>
          <t>Transportes Cordillera Ltda.</t>
        </is>
      </c>
      <c r="C9" s="4" t="inlineStr">
        <is>
          <t>77.215.908-0</t>
        </is>
      </c>
      <c r="D9" s="4" t="n">
        <v>47745</v>
      </c>
      <c r="E9" s="5" t="n">
        <v>46219</v>
      </c>
      <c r="F9" s="6" t="n">
        <v>21260000</v>
      </c>
      <c r="G9" s="6" t="n">
        <v>4039400</v>
      </c>
      <c r="H9" s="6" t="n">
        <v>25309400</v>
      </c>
      <c r="I9" s="4" t="n">
        <v>3</v>
      </c>
      <c r="J9" s="8" t="inlineStr">
        <is>
          <t>Revisar</t>
        </is>
      </c>
    </row>
    <row r="10">
      <c r="A10" s="4" t="inlineStr">
        <is>
          <t>factura_49345.pdf</t>
        </is>
      </c>
      <c r="B10" s="4" t="inlineStr">
        <is>
          <t>Servicios Portuarios Bahía S.A.</t>
        </is>
      </c>
      <c r="C10" s="4" t="inlineStr">
        <is>
          <t>96.874.320-1</t>
        </is>
      </c>
      <c r="D10" s="4" t="n">
        <v>49345</v>
      </c>
      <c r="E10" s="5" t="n">
        <v>46213</v>
      </c>
      <c r="F10" s="6" t="n">
        <v>4066000</v>
      </c>
      <c r="G10" s="6" t="n">
        <v>772540</v>
      </c>
      <c r="H10" s="6" t="n">
        <v>4838540</v>
      </c>
      <c r="I10" s="4" t="n">
        <v>2</v>
      </c>
      <c r="J10" s="7" t="inlineStr">
        <is>
          <t>OK</t>
        </is>
      </c>
    </row>
    <row r="11">
      <c r="A11" s="4" t="inlineStr">
        <is>
          <t>factura_56045.pdf</t>
        </is>
      </c>
      <c r="B11" s="4" t="inlineStr">
        <is>
          <t>Combustibles Ruta 5 Ltda.</t>
        </is>
      </c>
      <c r="C11" s="4" t="inlineStr">
        <is>
          <t>76.118.562-4</t>
        </is>
      </c>
      <c r="D11" s="4" t="n">
        <v>56045</v>
      </c>
      <c r="E11" s="5" t="n">
        <v>46272</v>
      </c>
      <c r="F11" s="6" t="n">
        <v>962676</v>
      </c>
      <c r="G11" s="6" t="n">
        <v>182908</v>
      </c>
      <c r="H11" s="6" t="n">
        <v>1145584</v>
      </c>
      <c r="I11" s="4" t="n">
        <v>1</v>
      </c>
      <c r="J11" s="7" t="inlineStr">
        <is>
          <t>OK</t>
        </is>
      </c>
    </row>
    <row r="12">
      <c r="A12" s="4" t="inlineStr">
        <is>
          <t>factura_65262.pdf</t>
        </is>
      </c>
      <c r="B12" s="4" t="inlineStr">
        <is>
          <t>Servicios Portuarios Bahía S.A.</t>
        </is>
      </c>
      <c r="C12" s="4" t="inlineStr">
        <is>
          <t>96.874.320-1</t>
        </is>
      </c>
      <c r="D12" s="4" t="n">
        <v>65262</v>
      </c>
      <c r="E12" s="5" t="n">
        <v>46187</v>
      </c>
      <c r="F12" s="6" t="n">
        <v>1615000</v>
      </c>
      <c r="G12" s="6" t="n">
        <v>306850</v>
      </c>
      <c r="H12" s="6" t="n">
        <v>1921850</v>
      </c>
      <c r="I12" s="4" t="n">
        <v>1</v>
      </c>
      <c r="J12" s="7" t="inlineStr">
        <is>
          <t>OK</t>
        </is>
      </c>
    </row>
    <row r="13">
      <c r="A13" s="4" t="inlineStr">
        <is>
          <t>factura_66333.pdf</t>
        </is>
      </c>
      <c r="B13" s="4" t="inlineStr">
        <is>
          <t>Servicios Portuarios Bahía S.A.</t>
        </is>
      </c>
      <c r="C13" s="4" t="inlineStr">
        <is>
          <t>96.874.320-2</t>
        </is>
      </c>
      <c r="D13" s="4" t="n">
        <v>66333</v>
      </c>
      <c r="E13" s="5" t="n">
        <v>46086</v>
      </c>
      <c r="F13" s="6" t="n">
        <v>7598000</v>
      </c>
      <c r="G13" s="6" t="n">
        <v>1443620</v>
      </c>
      <c r="H13" s="6" t="n">
        <v>9041620</v>
      </c>
      <c r="I13" s="4" t="n">
        <v>2</v>
      </c>
      <c r="J13" s="8" t="inlineStr">
        <is>
          <t>Revisar</t>
        </is>
      </c>
    </row>
    <row r="14">
      <c r="A14" s="4" t="inlineStr">
        <is>
          <t>factura_73949.pdf</t>
        </is>
      </c>
      <c r="B14" s="4" t="inlineStr">
        <is>
          <t>Servicios Portuarios Bahía S.A.</t>
        </is>
      </c>
      <c r="C14" s="4" t="inlineStr">
        <is>
          <t>96.874.320-1</t>
        </is>
      </c>
      <c r="D14" s="4" t="n">
        <v>73949</v>
      </c>
      <c r="E14" s="5" t="n">
        <v>46242</v>
      </c>
      <c r="F14" s="6" t="n">
        <v>4463000</v>
      </c>
      <c r="G14" s="6" t="n">
        <v>847970</v>
      </c>
      <c r="H14" s="6" t="n">
        <v>5310970</v>
      </c>
      <c r="I14" s="4" t="n">
        <v>3</v>
      </c>
      <c r="J14" s="7" t="inlineStr">
        <is>
          <t>OK</t>
        </is>
      </c>
    </row>
    <row r="15">
      <c r="A15" s="4" t="inlineStr">
        <is>
          <t>factura_7407.pdf</t>
        </is>
      </c>
      <c r="B15" s="4" t="inlineStr">
        <is>
          <t>Embalajes del Sur SpA</t>
        </is>
      </c>
      <c r="C15" s="4" t="inlineStr">
        <is>
          <t>76.482.113-0</t>
        </is>
      </c>
      <c r="D15" s="4" t="n">
        <v>7407</v>
      </c>
      <c r="E15" s="5" t="n">
        <v>46079</v>
      </c>
      <c r="F15" s="6" t="n">
        <v>856850</v>
      </c>
      <c r="G15" s="6" t="n">
        <v>162802</v>
      </c>
      <c r="H15" s="6" t="n">
        <v>1019652</v>
      </c>
      <c r="I15" s="4" t="n">
        <v>4</v>
      </c>
      <c r="J15" s="7" t="inlineStr">
        <is>
          <t>OK</t>
        </is>
      </c>
    </row>
    <row r="16">
      <c r="A16" s="4" t="inlineStr">
        <is>
          <t>factura_74373.pdf</t>
        </is>
      </c>
      <c r="B16" s="4" t="inlineStr">
        <is>
          <t>Transportes Cordillera Ltda.</t>
        </is>
      </c>
      <c r="C16" s="4" t="inlineStr">
        <is>
          <t>77.215.908-0</t>
        </is>
      </c>
      <c r="D16" s="4" t="n">
        <v>74373</v>
      </c>
      <c r="E16" s="5" t="n">
        <v>46232</v>
      </c>
      <c r="F16" s="6" t="n">
        <v>14420000</v>
      </c>
      <c r="G16" s="6" t="n">
        <v>2739800</v>
      </c>
      <c r="H16" s="6" t="n">
        <v>17159800</v>
      </c>
      <c r="I16" s="4" t="n">
        <v>3</v>
      </c>
      <c r="J16" s="7" t="inlineStr">
        <is>
          <t>OK</t>
        </is>
      </c>
    </row>
    <row r="17">
      <c r="A17" s="9" t="inlineStr">
        <is>
          <t>TOTAL</t>
        </is>
      </c>
      <c r="B17" s="9" t="n"/>
      <c r="C17" s="9" t="n"/>
      <c r="D17" s="9" t="n"/>
      <c r="E17" s="9" t="n"/>
      <c r="F17" s="10">
        <f>SUM(F5:F16)</f>
        <v/>
      </c>
      <c r="G17" s="10">
        <f>SUM(G5:G16)</f>
        <v/>
      </c>
      <c r="H17" s="10">
        <f>SUM(H5:H16)</f>
        <v/>
      </c>
      <c r="I17" s="9" t="n"/>
      <c r="J17" s="9" t="n"/>
    </row>
  </sheetData>
  <autoFilter ref="A4:J1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38" customWidth="1" min="4" max="4"/>
    <col width="11" customWidth="1" min="5" max="5"/>
    <col width="16" customWidth="1" min="6" max="6"/>
    <col width="15" customWidth="1" min="7" max="7"/>
  </cols>
  <sheetData>
    <row r="1">
      <c r="A1" s="1" t="inlineStr">
        <is>
          <t>Detalle de productos y servicios</t>
        </is>
      </c>
    </row>
    <row r="2">
      <c r="A2" s="2" t="inlineStr">
        <is>
          <t>Una fila por línea de cada factura</t>
        </is>
      </c>
    </row>
    <row r="4">
      <c r="A4" s="3" t="inlineStr">
        <is>
          <t>Archivo</t>
        </is>
      </c>
      <c r="B4" s="3" t="inlineStr">
        <is>
          <t>Proveedor</t>
        </is>
      </c>
      <c r="C4" s="3" t="inlineStr">
        <is>
          <t>Folio</t>
        </is>
      </c>
      <c r="D4" s="3" t="inlineStr">
        <is>
          <t>Descripción</t>
        </is>
      </c>
      <c r="E4" s="3" t="inlineStr">
        <is>
          <t>Cantidad</t>
        </is>
      </c>
      <c r="F4" s="3" t="inlineStr">
        <is>
          <t>Precio unitario</t>
        </is>
      </c>
      <c r="G4" s="3" t="inlineStr">
        <is>
          <t>Total línea</t>
        </is>
      </c>
    </row>
    <row r="5">
      <c r="A5" s="4" t="inlineStr">
        <is>
          <t>factura_15514.pdf</t>
        </is>
      </c>
      <c r="B5" s="4" t="inlineStr">
        <is>
          <t>TecnoOficina Chile SpA</t>
        </is>
      </c>
      <c r="C5" s="4" t="n">
        <v>15514</v>
      </c>
      <c r="D5" s="4" t="inlineStr">
        <is>
          <t>Tóner impresora láser</t>
        </is>
      </c>
      <c r="E5" s="11" t="n">
        <v>1</v>
      </c>
      <c r="F5" s="6" t="n">
        <v>58900</v>
      </c>
      <c r="G5" s="6" t="n">
        <v>58900</v>
      </c>
    </row>
    <row r="6">
      <c r="A6" s="4" t="inlineStr">
        <is>
          <t>factura_2215.pdf</t>
        </is>
      </c>
      <c r="B6" s="4" t="inlineStr">
        <is>
          <t>Combustibles Ruta 5 Ltda.</t>
        </is>
      </c>
      <c r="C6" s="4" t="n">
        <v>2215</v>
      </c>
      <c r="D6" s="4" t="inlineStr">
        <is>
          <t>Lubricante motor 5 L</t>
        </is>
      </c>
      <c r="E6" s="11" t="n">
        <v>34</v>
      </c>
      <c r="F6" s="6" t="n">
        <v>32500</v>
      </c>
      <c r="G6" s="6" t="n">
        <v>1105000</v>
      </c>
    </row>
    <row r="7">
      <c r="A7" s="4" t="inlineStr">
        <is>
          <t>factura_38696.pdf</t>
        </is>
      </c>
      <c r="B7" s="4" t="inlineStr">
        <is>
          <t>Combustibles Ruta 5 Ltda.</t>
        </is>
      </c>
      <c r="C7" s="4" t="n">
        <v>38696</v>
      </c>
      <c r="D7" s="4" t="inlineStr">
        <is>
          <t>Lubricante motor 5 L</t>
        </is>
      </c>
      <c r="E7" s="11" t="n">
        <v>2</v>
      </c>
      <c r="F7" s="6" t="n">
        <v>32500</v>
      </c>
      <c r="G7" s="6" t="n">
        <v>65000</v>
      </c>
    </row>
    <row r="8">
      <c r="A8" s="4" t="inlineStr">
        <is>
          <t>factura_42875.pdf</t>
        </is>
      </c>
      <c r="B8" s="4" t="inlineStr">
        <is>
          <t>Embalajes del Sur SpA</t>
        </is>
      </c>
      <c r="C8" s="4" t="n">
        <v>42875</v>
      </c>
      <c r="D8" s="4" t="inlineStr">
        <is>
          <t>Film stretch 50 cm</t>
        </is>
      </c>
      <c r="E8" s="11" t="n">
        <v>39</v>
      </c>
      <c r="F8" s="6" t="n">
        <v>12900</v>
      </c>
      <c r="G8" s="6" t="n">
        <v>503100</v>
      </c>
    </row>
    <row r="9">
      <c r="A9" s="4" t="inlineStr">
        <is>
          <t>factura_47745.pdf</t>
        </is>
      </c>
      <c r="B9" s="4" t="inlineStr">
        <is>
          <t>Transportes Cordillera Ltda.</t>
        </is>
      </c>
      <c r="C9" s="4" t="n">
        <v>47745</v>
      </c>
      <c r="D9" s="4" t="inlineStr">
        <is>
          <t>Estadía camión (hora)</t>
        </is>
      </c>
      <c r="E9" s="11" t="n">
        <v>6</v>
      </c>
      <c r="F9" s="6" t="n">
        <v>25000</v>
      </c>
      <c r="G9" s="6" t="n">
        <v>150000</v>
      </c>
    </row>
    <row r="10">
      <c r="A10" s="4" t="inlineStr">
        <is>
          <t>factura_47745.pdf</t>
        </is>
      </c>
      <c r="B10" s="4" t="inlineStr">
        <is>
          <t>Transportes Cordillera Ltda.</t>
        </is>
      </c>
      <c r="C10" s="4" t="n">
        <v>47745</v>
      </c>
      <c r="D10" s="4" t="inlineStr">
        <is>
          <t>Flete Santiago - San Antonio</t>
        </is>
      </c>
      <c r="E10" s="11" t="n">
        <v>36</v>
      </c>
      <c r="F10" s="6" t="n">
        <v>285000</v>
      </c>
      <c r="G10" s="6" t="n">
        <v>10260000</v>
      </c>
    </row>
    <row r="11">
      <c r="A11" s="4" t="inlineStr">
        <is>
          <t>factura_47745.pdf</t>
        </is>
      </c>
      <c r="B11" s="4" t="inlineStr">
        <is>
          <t>Transportes Cordillera Ltda.</t>
        </is>
      </c>
      <c r="C11" s="4" t="n">
        <v>47745</v>
      </c>
      <c r="D11" s="4" t="inlineStr">
        <is>
          <t>Flete Santiago - Valparaíso</t>
        </is>
      </c>
      <c r="E11" s="11" t="n">
        <v>35</v>
      </c>
      <c r="F11" s="6" t="n">
        <v>310000</v>
      </c>
      <c r="G11" s="6" t="n">
        <v>10850000</v>
      </c>
    </row>
    <row r="12">
      <c r="A12" s="4" t="inlineStr">
        <is>
          <t>factura_49345.pdf</t>
        </is>
      </c>
      <c r="B12" s="4" t="inlineStr">
        <is>
          <t>Servicios Portuarios Bahía S.A.</t>
        </is>
      </c>
      <c r="C12" s="4" t="n">
        <v>49345</v>
      </c>
      <c r="D12" s="4" t="inlineStr">
        <is>
          <t>Manipulación de carga</t>
        </is>
      </c>
      <c r="E12" s="11" t="n">
        <v>26</v>
      </c>
      <c r="F12" s="6" t="n">
        <v>95000</v>
      </c>
      <c r="G12" s="6" t="n">
        <v>2470000</v>
      </c>
    </row>
    <row r="13">
      <c r="A13" s="4" t="inlineStr">
        <is>
          <t>factura_49345.pdf</t>
        </is>
      </c>
      <c r="B13" s="4" t="inlineStr">
        <is>
          <t>Servicios Portuarios Bahía S.A.</t>
        </is>
      </c>
      <c r="C13" s="4" t="n">
        <v>49345</v>
      </c>
      <c r="D13" s="4" t="inlineStr">
        <is>
          <t>Almacenaje contenedor 20' (día)</t>
        </is>
      </c>
      <c r="E13" s="11" t="n">
        <v>38</v>
      </c>
      <c r="F13" s="6" t="n">
        <v>42000</v>
      </c>
      <c r="G13" s="6" t="n">
        <v>1596000</v>
      </c>
    </row>
    <row r="14">
      <c r="A14" s="4" t="inlineStr">
        <is>
          <t>factura_56045.pdf</t>
        </is>
      </c>
      <c r="B14" s="4" t="inlineStr">
        <is>
          <t>Combustibles Ruta 5 Ltda.</t>
        </is>
      </c>
      <c r="C14" s="4" t="n">
        <v>56045</v>
      </c>
      <c r="D14" s="4" t="inlineStr">
        <is>
          <t>Petróleo diésel (litro)</t>
        </is>
      </c>
      <c r="E14" s="11" t="n">
        <v>884</v>
      </c>
      <c r="F14" s="6" t="n">
        <v>1089</v>
      </c>
      <c r="G14" s="6" t="n">
        <v>962676</v>
      </c>
    </row>
    <row r="15">
      <c r="A15" s="4" t="inlineStr">
        <is>
          <t>factura_65262.pdf</t>
        </is>
      </c>
      <c r="B15" s="4" t="inlineStr">
        <is>
          <t>Servicios Portuarios Bahía S.A.</t>
        </is>
      </c>
      <c r="C15" s="4" t="n">
        <v>65262</v>
      </c>
      <c r="D15" s="4" t="inlineStr">
        <is>
          <t>Manipulación de carga</t>
        </is>
      </c>
      <c r="E15" s="11" t="n">
        <v>17</v>
      </c>
      <c r="F15" s="6" t="n">
        <v>95000</v>
      </c>
      <c r="G15" s="6" t="n">
        <v>1615000</v>
      </c>
    </row>
    <row r="16">
      <c r="A16" s="4" t="inlineStr">
        <is>
          <t>factura_66333.pdf</t>
        </is>
      </c>
      <c r="B16" s="4" t="inlineStr">
        <is>
          <t>Servicios Portuarios Bahía S.A.</t>
        </is>
      </c>
      <c r="C16" s="4" t="n">
        <v>66333</v>
      </c>
      <c r="D16" s="4" t="inlineStr">
        <is>
          <t>Consolidación LCL</t>
        </is>
      </c>
      <c r="E16" s="11" t="n">
        <v>26</v>
      </c>
      <c r="F16" s="6" t="n">
        <v>168000</v>
      </c>
      <c r="G16" s="6" t="n">
        <v>4368000</v>
      </c>
    </row>
    <row r="17">
      <c r="A17" s="4" t="inlineStr">
        <is>
          <t>factura_66333.pdf</t>
        </is>
      </c>
      <c r="B17" s="4" t="inlineStr">
        <is>
          <t>Servicios Portuarios Bahía S.A.</t>
        </is>
      </c>
      <c r="C17" s="4" t="n">
        <v>66333</v>
      </c>
      <c r="D17" s="4" t="inlineStr">
        <is>
          <t>Manipulación de carga</t>
        </is>
      </c>
      <c r="E17" s="11" t="n">
        <v>34</v>
      </c>
      <c r="F17" s="6" t="n">
        <v>95000</v>
      </c>
      <c r="G17" s="6" t="n">
        <v>3230000</v>
      </c>
    </row>
    <row r="18">
      <c r="A18" s="4" t="inlineStr">
        <is>
          <t>factura_73949.pdf</t>
        </is>
      </c>
      <c r="B18" s="4" t="inlineStr">
        <is>
          <t>Servicios Portuarios Bahía S.A.</t>
        </is>
      </c>
      <c r="C18" s="4" t="n">
        <v>73949</v>
      </c>
      <c r="D18" s="4" t="inlineStr">
        <is>
          <t>Consolidación LCL</t>
        </is>
      </c>
      <c r="E18" s="11" t="n">
        <v>16</v>
      </c>
      <c r="F18" s="6" t="n">
        <v>168000</v>
      </c>
      <c r="G18" s="6" t="n">
        <v>2688000</v>
      </c>
    </row>
    <row r="19">
      <c r="A19" s="4" t="inlineStr">
        <is>
          <t>factura_73949.pdf</t>
        </is>
      </c>
      <c r="B19" s="4" t="inlineStr">
        <is>
          <t>Servicios Portuarios Bahía S.A.</t>
        </is>
      </c>
      <c r="C19" s="4" t="n">
        <v>73949</v>
      </c>
      <c r="D19" s="4" t="inlineStr">
        <is>
          <t>Manipulación de carga</t>
        </is>
      </c>
      <c r="E19" s="11" t="n">
        <v>1</v>
      </c>
      <c r="F19" s="6" t="n">
        <v>95000</v>
      </c>
      <c r="G19" s="6" t="n">
        <v>95000</v>
      </c>
    </row>
    <row r="20">
      <c r="A20" s="4" t="inlineStr">
        <is>
          <t>factura_73949.pdf</t>
        </is>
      </c>
      <c r="B20" s="4" t="inlineStr">
        <is>
          <t>Servicios Portuarios Bahía S.A.</t>
        </is>
      </c>
      <c r="C20" s="4" t="n">
        <v>73949</v>
      </c>
      <c r="D20" s="4" t="inlineStr">
        <is>
          <t>Almacenaje contenedor 20' (día)</t>
        </is>
      </c>
      <c r="E20" s="11" t="n">
        <v>40</v>
      </c>
      <c r="F20" s="6" t="n">
        <v>42000</v>
      </c>
      <c r="G20" s="6" t="n">
        <v>1680000</v>
      </c>
    </row>
    <row r="21">
      <c r="A21" s="4" t="inlineStr">
        <is>
          <t>factura_7407.pdf</t>
        </is>
      </c>
      <c r="B21" s="4" t="inlineStr">
        <is>
          <t>Embalajes del Sur SpA</t>
        </is>
      </c>
      <c r="C21" s="4" t="n">
        <v>7407</v>
      </c>
      <c r="D21" s="4" t="inlineStr">
        <is>
          <t>Zuncho plástico rollo</t>
        </is>
      </c>
      <c r="E21" s="11" t="n">
        <v>8</v>
      </c>
      <c r="F21" s="6" t="n">
        <v>18900</v>
      </c>
      <c r="G21" s="6" t="n">
        <v>151200</v>
      </c>
    </row>
    <row r="22">
      <c r="A22" s="4" t="inlineStr">
        <is>
          <t>factura_7407.pdf</t>
        </is>
      </c>
      <c r="B22" s="4" t="inlineStr">
        <is>
          <t>Embalajes del Sur SpA</t>
        </is>
      </c>
      <c r="C22" s="4" t="n">
        <v>7407</v>
      </c>
      <c r="D22" s="4" t="inlineStr">
        <is>
          <t>Pallet de madera 120x100</t>
        </is>
      </c>
      <c r="E22" s="11" t="n">
        <v>30</v>
      </c>
      <c r="F22" s="6" t="n">
        <v>8500</v>
      </c>
      <c r="G22" s="6" t="n">
        <v>255000</v>
      </c>
    </row>
    <row r="23">
      <c r="A23" s="4" t="inlineStr">
        <is>
          <t>factura_7407.pdf</t>
        </is>
      </c>
      <c r="B23" s="4" t="inlineStr">
        <is>
          <t>Embalajes del Sur SpA</t>
        </is>
      </c>
      <c r="C23" s="4" t="n">
        <v>7407</v>
      </c>
      <c r="D23" s="4" t="inlineStr">
        <is>
          <t>Film stretch 50 cm</t>
        </is>
      </c>
      <c r="E23" s="11" t="n">
        <v>31</v>
      </c>
      <c r="F23" s="6" t="n">
        <v>12900</v>
      </c>
      <c r="G23" s="6" t="n">
        <v>399900</v>
      </c>
    </row>
    <row r="24">
      <c r="A24" s="4" t="inlineStr">
        <is>
          <t>factura_7407.pdf</t>
        </is>
      </c>
      <c r="B24" s="4" t="inlineStr">
        <is>
          <t>Embalajes del Sur SpA</t>
        </is>
      </c>
      <c r="C24" s="4" t="n">
        <v>7407</v>
      </c>
      <c r="D24" s="4" t="inlineStr">
        <is>
          <t>Caja corrugada doble</t>
        </is>
      </c>
      <c r="E24" s="11" t="n">
        <v>35</v>
      </c>
      <c r="F24" s="6" t="n">
        <v>1450</v>
      </c>
      <c r="G24" s="6" t="n">
        <v>50750</v>
      </c>
    </row>
    <row r="25">
      <c r="A25" s="4" t="inlineStr">
        <is>
          <t>factura_74373.pdf</t>
        </is>
      </c>
      <c r="B25" s="4" t="inlineStr">
        <is>
          <t>Transportes Cordillera Ltda.</t>
        </is>
      </c>
      <c r="C25" s="4" t="n">
        <v>74373</v>
      </c>
      <c r="D25" s="4" t="inlineStr">
        <is>
          <t>Flete Santiago - Valparaíso</t>
        </is>
      </c>
      <c r="E25" s="11" t="n">
        <v>28</v>
      </c>
      <c r="F25" s="6" t="n">
        <v>310000</v>
      </c>
      <c r="G25" s="6" t="n">
        <v>8680000</v>
      </c>
    </row>
    <row r="26">
      <c r="A26" s="4" t="inlineStr">
        <is>
          <t>factura_74373.pdf</t>
        </is>
      </c>
      <c r="B26" s="4" t="inlineStr">
        <is>
          <t>Transportes Cordillera Ltda.</t>
        </is>
      </c>
      <c r="C26" s="4" t="n">
        <v>74373</v>
      </c>
      <c r="D26" s="4" t="inlineStr">
        <is>
          <t>Estadía camión (hora)</t>
        </is>
      </c>
      <c r="E26" s="11" t="n">
        <v>13</v>
      </c>
      <c r="F26" s="6" t="n">
        <v>25000</v>
      </c>
      <c r="G26" s="6" t="n">
        <v>325000</v>
      </c>
    </row>
    <row r="27">
      <c r="A27" s="4" t="inlineStr">
        <is>
          <t>factura_74373.pdf</t>
        </is>
      </c>
      <c r="B27" s="4" t="inlineStr">
        <is>
          <t>Transportes Cordillera Ltda.</t>
        </is>
      </c>
      <c r="C27" s="4" t="n">
        <v>74373</v>
      </c>
      <c r="D27" s="4" t="inlineStr">
        <is>
          <t>Flete Santiago - San Antonio</t>
        </is>
      </c>
      <c r="E27" s="11" t="n">
        <v>19</v>
      </c>
      <c r="F27" s="6" t="n">
        <v>285000</v>
      </c>
      <c r="G27" s="6" t="n">
        <v>5415000</v>
      </c>
    </row>
    <row r="28">
      <c r="A28" s="9" t="inlineStr">
        <is>
          <t>TOTAL</t>
        </is>
      </c>
      <c r="B28" s="9" t="n"/>
      <c r="C28" s="9" t="n"/>
      <c r="D28" s="9" t="n"/>
      <c r="E28" s="9" t="n"/>
      <c r="F28" s="9" t="n"/>
      <c r="G28" s="10">
        <f>SUM(G5:G27)</f>
        <v/>
      </c>
    </row>
  </sheetData>
  <autoFilter ref="A4:G2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5" customWidth="1" min="4" max="4"/>
    <col width="14" customWidth="1" min="5" max="5"/>
    <col width="15" customWidth="1" min="6" max="6"/>
  </cols>
  <sheetData>
    <row r="1">
      <c r="A1" s="1" t="inlineStr">
        <is>
          <t>Compras por proveedor</t>
        </is>
      </c>
    </row>
    <row r="2">
      <c r="A2" s="2" t="inlineStr">
        <is>
          <t>Solo facturas en estado OK</t>
        </is>
      </c>
    </row>
    <row r="4">
      <c r="A4" s="3" t="inlineStr">
        <is>
          <t>Proveedor</t>
        </is>
      </c>
      <c r="B4" s="3" t="inlineStr">
        <is>
          <t>RUT</t>
        </is>
      </c>
      <c r="C4" s="3" t="inlineStr">
        <is>
          <t>Facturas</t>
        </is>
      </c>
      <c r="D4" s="3" t="inlineStr">
        <is>
          <t>Neto</t>
        </is>
      </c>
      <c r="E4" s="3" t="inlineStr">
        <is>
          <t>IVA</t>
        </is>
      </c>
      <c r="F4" s="3" t="inlineStr">
        <is>
          <t>Total</t>
        </is>
      </c>
    </row>
    <row r="5">
      <c r="A5" s="4" t="inlineStr">
        <is>
          <t>Transportes Cordillera Ltda.</t>
        </is>
      </c>
      <c r="B5" s="4" t="inlineStr">
        <is>
          <t>77.215.908-0</t>
        </is>
      </c>
      <c r="C5" s="11" t="n">
        <v>1</v>
      </c>
      <c r="D5" s="6" t="n">
        <v>14420000</v>
      </c>
      <c r="E5" s="6" t="n">
        <v>2739800</v>
      </c>
      <c r="F5" s="6" t="n">
        <v>17159800</v>
      </c>
    </row>
    <row r="6">
      <c r="A6" s="4" t="inlineStr">
        <is>
          <t>Servicios Portuarios Bahía S.A.</t>
        </is>
      </c>
      <c r="B6" s="4" t="inlineStr">
        <is>
          <t>96.874.320-1</t>
        </is>
      </c>
      <c r="C6" s="11" t="n">
        <v>3</v>
      </c>
      <c r="D6" s="6" t="n">
        <v>10144000</v>
      </c>
      <c r="E6" s="6" t="n">
        <v>1927360</v>
      </c>
      <c r="F6" s="6" t="n">
        <v>12071360</v>
      </c>
    </row>
    <row r="7">
      <c r="A7" s="4" t="inlineStr">
        <is>
          <t>Combustibles Ruta 5 Ltda.</t>
        </is>
      </c>
      <c r="B7" s="4" t="inlineStr">
        <is>
          <t>76.118.562-4</t>
        </is>
      </c>
      <c r="C7" s="11" t="n">
        <v>3</v>
      </c>
      <c r="D7" s="6" t="n">
        <v>2132676</v>
      </c>
      <c r="E7" s="6" t="n">
        <v>405208</v>
      </c>
      <c r="F7" s="6" t="n">
        <v>2537884</v>
      </c>
    </row>
    <row r="8">
      <c r="A8" s="4" t="inlineStr">
        <is>
          <t>Embalajes del Sur SpA</t>
        </is>
      </c>
      <c r="B8" s="4" t="inlineStr">
        <is>
          <t>76.482.113-0</t>
        </is>
      </c>
      <c r="C8" s="11" t="n">
        <v>2</v>
      </c>
      <c r="D8" s="6" t="n">
        <v>1359950</v>
      </c>
      <c r="E8" s="6" t="n">
        <v>258391</v>
      </c>
      <c r="F8" s="6" t="n">
        <v>1618341</v>
      </c>
    </row>
    <row r="9">
      <c r="A9" s="4" t="inlineStr">
        <is>
          <t>TecnoOficina Chile SpA</t>
        </is>
      </c>
      <c r="B9" s="4" t="inlineStr">
        <is>
          <t>77.930.441-8</t>
        </is>
      </c>
      <c r="C9" s="11" t="n">
        <v>1</v>
      </c>
      <c r="D9" s="6" t="n">
        <v>58900</v>
      </c>
      <c r="E9" s="6" t="n">
        <v>11191</v>
      </c>
      <c r="F9" s="6" t="n">
        <v>70091</v>
      </c>
    </row>
    <row r="10">
      <c r="A10" s="9" t="inlineStr">
        <is>
          <t>TOTAL</t>
        </is>
      </c>
      <c r="B10" s="9" t="n"/>
      <c r="C10" s="12">
        <f>SUM(C5:C9)</f>
        <v/>
      </c>
      <c r="D10" s="10">
        <f>SUM(D5:D9)</f>
        <v/>
      </c>
      <c r="E10" s="10">
        <f>SUM(E5:E9)</f>
        <v/>
      </c>
      <c r="F10" s="10">
        <f>SUM(F5:F9)</f>
        <v/>
      </c>
    </row>
  </sheetData>
  <autoFilter ref="A4:F9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" customWidth="1" min="3" max="3"/>
    <col width="15" customWidth="1" min="4" max="4"/>
    <col width="70" customWidth="1" min="5" max="5"/>
  </cols>
  <sheetData>
    <row r="1">
      <c r="A1" s="1" t="inlineStr">
        <is>
          <t>Documentos para revisar</t>
        </is>
      </c>
    </row>
    <row r="2">
      <c r="A2" s="2" t="inlineStr">
        <is>
          <t>3 documentos requieren revisión manual antes de contabilizarse.</t>
        </is>
      </c>
    </row>
    <row r="4">
      <c r="A4" s="3" t="inlineStr">
        <is>
          <t>Archivo</t>
        </is>
      </c>
      <c r="B4" s="3" t="inlineStr">
        <is>
          <t>Proveedor</t>
        </is>
      </c>
      <c r="C4" s="3" t="inlineStr">
        <is>
          <t>Folio</t>
        </is>
      </c>
      <c r="D4" s="3" t="inlineStr">
        <is>
          <t>Estado</t>
        </is>
      </c>
      <c r="E4" s="3" t="inlineStr">
        <is>
          <t>Observación</t>
        </is>
      </c>
    </row>
    <row r="5">
      <c r="A5" s="4" t="inlineStr">
        <is>
          <t>factura_47745.pdf</t>
        </is>
      </c>
      <c r="B5" s="4" t="inlineStr">
        <is>
          <t>Transportes Cordillera Ltda.</t>
        </is>
      </c>
      <c r="C5" s="4" t="n">
        <v>47745</v>
      </c>
      <c r="D5" s="4" t="inlineStr">
        <is>
          <t>Revisar</t>
        </is>
      </c>
      <c r="E5" s="4" t="inlineStr">
        <is>
          <t>Total no cuadra con neto + IVA (diferencia +10.000)</t>
        </is>
      </c>
    </row>
    <row r="6">
      <c r="A6" s="4" t="inlineStr">
        <is>
          <t>factura_66333.pdf</t>
        </is>
      </c>
      <c r="B6" s="4" t="inlineStr">
        <is>
          <t>Servicios Portuarios Bahía S.A.</t>
        </is>
      </c>
      <c r="C6" s="4" t="n">
        <v>66333</v>
      </c>
      <c r="D6" s="4" t="inlineStr">
        <is>
          <t>Revisar</t>
        </is>
      </c>
      <c r="E6" s="4" t="inlineStr">
        <is>
          <t>RUT del proveedor inválido (dígito verificador): 96.874.320-2</t>
        </is>
      </c>
    </row>
    <row r="7">
      <c r="A7" s="4" t="inlineStr">
        <is>
          <t>cotizacion_referencial.pdf</t>
        </is>
      </c>
      <c r="B7" s="4" t="n"/>
      <c r="C7" s="4" t="n"/>
      <c r="D7" s="4" t="inlineStr">
        <is>
          <t>No reconocido</t>
        </is>
      </c>
      <c r="E7" s="4" t="inlineStr">
        <is>
          <t>No es una factura (no tiene RUT ni total)</t>
        </is>
      </c>
    </row>
  </sheetData>
  <autoFilter ref="A4:E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2026-10-10T22:25:06Z</dcterms:created>
  <dcterms:modified xmlns:dcterms="http://purl.org/dc/terms/" xmlns:xsi="http://www.w3.org/2001/XMLSchema-instance" xsi:type="dcterms:W3CDTF">2026-10-10T22:25:06Z</dcterms:modified>
</cp:coreProperties>
</file>